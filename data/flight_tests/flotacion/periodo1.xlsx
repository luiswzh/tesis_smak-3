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https://utpac-my.sharepoint.com/personal/luis_wen_utp_ac_pa/Documents/2024/Tesis-latex-aux/flight_tests/resultados/flotacion/"/>
    </mc:Choice>
  </mc:AlternateContent>
  <xr:revisionPtr revIDLastSave="311" documentId="11_F25DC773A252ABDACC10481901DA51CE5ADE58EB" xr6:coauthVersionLast="47" xr6:coauthVersionMax="47" xr10:uidLastSave="{B0FDD520-B934-4BCC-BEAF-FBBFCCF503A9}"/>
  <bookViews>
    <workbookView xWindow="28680" yWindow="-120" windowWidth="29040" windowHeight="15840" activeTab="1" xr2:uid="{00000000-000D-0000-FFFF-FFFF00000000}"/>
  </bookViews>
  <sheets>
    <sheet name="datos_clean" sheetId="2" r:id="rId1"/>
    <sheet name="Dato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" i="1" l="1"/>
  <c r="P5" i="1"/>
  <c r="P6" i="1"/>
  <c r="P7" i="1"/>
  <c r="P8" i="1"/>
  <c r="P9" i="1"/>
  <c r="P10" i="1"/>
  <c r="P3" i="1"/>
  <c r="O3" i="1"/>
  <c r="N4" i="1"/>
  <c r="Q3" i="1"/>
  <c r="N10" i="1"/>
  <c r="D9" i="1"/>
  <c r="D2" i="1"/>
  <c r="C3" i="1"/>
  <c r="C4" i="1"/>
  <c r="D4" i="1" s="1"/>
  <c r="C5" i="1"/>
  <c r="D5" i="1" s="1"/>
  <c r="C6" i="1"/>
  <c r="D6" i="1" s="1"/>
  <c r="C7" i="1"/>
  <c r="D7" i="1" s="1"/>
  <c r="C8" i="1"/>
  <c r="D8" i="1" s="1"/>
  <c r="C9" i="1"/>
  <c r="C10" i="1"/>
  <c r="D10" i="1" s="1"/>
  <c r="C2" i="1"/>
  <c r="D3" i="1" s="1"/>
  <c r="N3" i="1"/>
  <c r="N5" i="1"/>
  <c r="N6" i="1"/>
  <c r="N7" i="1"/>
  <c r="N8" i="1"/>
  <c r="N9" i="1"/>
  <c r="N2" i="1"/>
  <c r="O9" i="1" l="1"/>
  <c r="Q9" i="1" s="1"/>
  <c r="O8" i="1"/>
  <c r="Q8" i="1" s="1"/>
  <c r="O7" i="1"/>
  <c r="Q7" i="1" s="1"/>
  <c r="O5" i="1"/>
  <c r="Q5" i="1" s="1"/>
  <c r="O10" i="1"/>
  <c r="Q10" i="1" s="1"/>
  <c r="O4" i="1"/>
  <c r="Q4" i="1" s="1"/>
  <c r="O6" i="1"/>
  <c r="Q6" i="1" s="1"/>
</calcChain>
</file>

<file path=xl/sharedStrings.xml><?xml version="1.0" encoding="utf-8"?>
<sst xmlns="http://schemas.openxmlformats.org/spreadsheetml/2006/main" count="24" uniqueCount="24">
  <si>
    <t>Hora</t>
  </si>
  <si>
    <t>Contrapeso (g)</t>
  </si>
  <si>
    <t>Peso globo con contrapeso (g)</t>
  </si>
  <si>
    <t>Presión (mb)</t>
  </si>
  <si>
    <t>Humedad (%)</t>
  </si>
  <si>
    <t>Temperatura (ºC)</t>
  </si>
  <si>
    <t>Densidad Helio (kg/m3)</t>
  </si>
  <si>
    <t>Densidad Aire (kg/m3)</t>
  </si>
  <si>
    <t>Fuerza de flotación (g)</t>
  </si>
  <si>
    <t>Fuerza perdida (g)</t>
  </si>
  <si>
    <t>Volumen de helio perdido (m3)</t>
  </si>
  <si>
    <t>Masa de helio perdido (g)</t>
  </si>
  <si>
    <t>Día</t>
  </si>
  <si>
    <t>DIA+HORA</t>
  </si>
  <si>
    <t>DIA+HORA desde 2/29/2024</t>
  </si>
  <si>
    <t>datetime</t>
  </si>
  <si>
    <t>deltatime</t>
  </si>
  <si>
    <t>globo_contrapeso</t>
  </si>
  <si>
    <t>presion</t>
  </si>
  <si>
    <t>humedad</t>
  </si>
  <si>
    <t>temperatura</t>
  </si>
  <si>
    <t>contrapeso</t>
  </si>
  <si>
    <t>rho_helio</t>
  </si>
  <si>
    <t>rho_aire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</si>
</sst>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2" fontId="0" fillId="0" borderId="0" xfId="0" applyNumberFormat="1"/>
    <xf numFmtId="164" fontId="0" fillId="0" borderId="0" xfId="0" applyNumberFormat="1"/>
    <xf numFmtId="20" fontId="0" fillId="0" borderId="0" xfId="0" applyNumberFormat="1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Fuerza de flotación vs</a:t>
            </a:r>
            <a:r>
              <a:rPr lang="en-US" baseline="0"/>
              <a:t> día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Datos!$N$1</c:f>
              <c:strCache>
                <c:ptCount val="1"/>
                <c:pt idx="0">
                  <c:v>Fuerza de flotación (g)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020686322143133"/>
                  <c:y val="8.75014581510644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Datos!$C$2:$C$10</c:f>
              <c:numCache>
                <c:formatCode>m/d/yyyy</c:formatCode>
                <c:ptCount val="9"/>
                <c:pt idx="0">
                  <c:v>45351.625</c:v>
                </c:pt>
                <c:pt idx="1">
                  <c:v>45351.720833333333</c:v>
                </c:pt>
                <c:pt idx="2">
                  <c:v>45352.425694444442</c:v>
                </c:pt>
                <c:pt idx="3">
                  <c:v>45352.581250000003</c:v>
                </c:pt>
                <c:pt idx="4">
                  <c:v>45353.324999999997</c:v>
                </c:pt>
                <c:pt idx="5">
                  <c:v>45355.430555555555</c:v>
                </c:pt>
                <c:pt idx="6">
                  <c:v>45355.595138888886</c:v>
                </c:pt>
                <c:pt idx="7">
                  <c:v>45357.465277777781</c:v>
                </c:pt>
                <c:pt idx="8">
                  <c:v>45359.609027777777</c:v>
                </c:pt>
              </c:numCache>
            </c:numRef>
          </c:xVal>
          <c:yVal>
            <c:numRef>
              <c:f>Datos!$N$2:$N$10</c:f>
              <c:numCache>
                <c:formatCode>General</c:formatCode>
                <c:ptCount val="9"/>
                <c:pt idx="0">
                  <c:v>1220.3800000000001</c:v>
                </c:pt>
                <c:pt idx="1">
                  <c:v>1215.6899999999998</c:v>
                </c:pt>
                <c:pt idx="2">
                  <c:v>1183.6800000000003</c:v>
                </c:pt>
                <c:pt idx="3">
                  <c:v>1196.3400000000001</c:v>
                </c:pt>
                <c:pt idx="4">
                  <c:v>1156.67</c:v>
                </c:pt>
                <c:pt idx="5">
                  <c:v>1058.6499999999996</c:v>
                </c:pt>
                <c:pt idx="6">
                  <c:v>1054.8200000000002</c:v>
                </c:pt>
                <c:pt idx="7">
                  <c:v>978.48</c:v>
                </c:pt>
                <c:pt idx="8">
                  <c:v>883.13000000000011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57-4B35-A0B6-D5EF6E3E30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22384"/>
        <c:axId val="1043921664"/>
      </c:scatterChart>
      <c:valAx>
        <c:axId val="104392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1664"/>
        <c:crosses val="autoZero"/>
        <c:crossBetween val="midCat"/>
      </c:valAx>
      <c:valAx>
        <c:axId val="1043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Fuerza</a:t>
                </a:r>
                <a:r>
                  <a:rPr lang="en-US" baseline="0"/>
                  <a:t> de flotación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Fuerza de perdida vs</a:t>
            </a:r>
            <a:r>
              <a:rPr lang="en-US" baseline="0"/>
              <a:t> día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Datos!$O$1</c:f>
              <c:strCache>
                <c:ptCount val="1"/>
                <c:pt idx="0">
                  <c:v>Fuerza perdida (g)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020686322143133"/>
                  <c:y val="8.75014581510644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Datos!$C$2:$C$10</c:f>
              <c:numCache>
                <c:formatCode>m/d/yyyy</c:formatCode>
                <c:ptCount val="9"/>
                <c:pt idx="0">
                  <c:v>45351.625</c:v>
                </c:pt>
                <c:pt idx="1">
                  <c:v>45351.720833333333</c:v>
                </c:pt>
                <c:pt idx="2">
                  <c:v>45352.425694444442</c:v>
                </c:pt>
                <c:pt idx="3">
                  <c:v>45352.581250000003</c:v>
                </c:pt>
                <c:pt idx="4">
                  <c:v>45353.324999999997</c:v>
                </c:pt>
                <c:pt idx="5">
                  <c:v>45355.430555555555</c:v>
                </c:pt>
                <c:pt idx="6">
                  <c:v>45355.595138888886</c:v>
                </c:pt>
                <c:pt idx="7">
                  <c:v>45357.465277777781</c:v>
                </c:pt>
                <c:pt idx="8">
                  <c:v>45359.609027777777</c:v>
                </c:pt>
              </c:numCache>
            </c:numRef>
          </c:xVal>
          <c:yVal>
            <c:numRef>
              <c:f>Datos!$O$2:$O$10</c:f>
              <c:numCache>
                <c:formatCode>General</c:formatCode>
                <c:ptCount val="9"/>
                <c:pt idx="0">
                  <c:v>0</c:v>
                </c:pt>
                <c:pt idx="1">
                  <c:v>4.6900000000002819</c:v>
                </c:pt>
                <c:pt idx="2">
                  <c:v>36.699999999999818</c:v>
                </c:pt>
                <c:pt idx="3">
                  <c:v>24.039999999999964</c:v>
                </c:pt>
                <c:pt idx="4">
                  <c:v>63.710000000000036</c:v>
                </c:pt>
                <c:pt idx="5">
                  <c:v>161.73000000000047</c:v>
                </c:pt>
                <c:pt idx="6">
                  <c:v>165.55999999999995</c:v>
                </c:pt>
                <c:pt idx="7">
                  <c:v>241.90000000000009</c:v>
                </c:pt>
                <c:pt idx="8">
                  <c:v>337.25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01-439F-9DC5-81F96286A7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22384"/>
        <c:axId val="1043921664"/>
      </c:scatterChart>
      <c:valAx>
        <c:axId val="104392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1664"/>
        <c:crosses val="autoZero"/>
        <c:crossBetween val="midCat"/>
      </c:valAx>
      <c:valAx>
        <c:axId val="1043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Fuerza perdida </a:t>
                </a:r>
                <a:r>
                  <a:rPr lang="en-US" baseline="0"/>
                  <a:t>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Volumen de helio perdido vs</a:t>
            </a:r>
            <a:r>
              <a:rPr lang="en-US" baseline="0"/>
              <a:t> día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Datos!$P$1</c:f>
              <c:strCache>
                <c:ptCount val="1"/>
                <c:pt idx="0">
                  <c:v>Volumen de helio perdido (m3)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020686322143133"/>
                  <c:y val="8.75014581510644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Datos!$C$2:$C$10</c:f>
              <c:numCache>
                <c:formatCode>m/d/yyyy</c:formatCode>
                <c:ptCount val="9"/>
                <c:pt idx="0">
                  <c:v>45351.625</c:v>
                </c:pt>
                <c:pt idx="1">
                  <c:v>45351.720833333333</c:v>
                </c:pt>
                <c:pt idx="2">
                  <c:v>45352.425694444442</c:v>
                </c:pt>
                <c:pt idx="3">
                  <c:v>45352.581250000003</c:v>
                </c:pt>
                <c:pt idx="4">
                  <c:v>45353.324999999997</c:v>
                </c:pt>
                <c:pt idx="5">
                  <c:v>45355.430555555555</c:v>
                </c:pt>
                <c:pt idx="6">
                  <c:v>45355.595138888886</c:v>
                </c:pt>
                <c:pt idx="7">
                  <c:v>45357.465277777781</c:v>
                </c:pt>
                <c:pt idx="8">
                  <c:v>45359.609027777777</c:v>
                </c:pt>
              </c:numCache>
            </c:numRef>
          </c:xVal>
          <c:yVal>
            <c:numRef>
              <c:f>Datos!$P$2:$P$10</c:f>
              <c:numCache>
                <c:formatCode>General</c:formatCode>
                <c:ptCount val="9"/>
                <c:pt idx="0">
                  <c:v>0</c:v>
                </c:pt>
                <c:pt idx="1">
                  <c:v>4.8509245717432928E-3</c:v>
                </c:pt>
                <c:pt idx="2">
                  <c:v>3.709468747473095E-2</c:v>
                </c:pt>
                <c:pt idx="3">
                  <c:v>2.4718523469230338E-2</c:v>
                </c:pt>
                <c:pt idx="4">
                  <c:v>6.4131149257171866E-2</c:v>
                </c:pt>
                <c:pt idx="5">
                  <c:v>0.1645052027707429</c:v>
                </c:pt>
                <c:pt idx="6">
                  <c:v>0.16990899052138533</c:v>
                </c:pt>
                <c:pt idx="7">
                  <c:v>0.24605087831721142</c:v>
                </c:pt>
                <c:pt idx="8">
                  <c:v>0.34659382287077317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5DA-4C9D-A45F-F8E3E8FD08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22384"/>
        <c:axId val="1043921664"/>
      </c:scatterChart>
      <c:valAx>
        <c:axId val="104392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1664"/>
        <c:crosses val="autoZero"/>
        <c:crossBetween val="midCat"/>
      </c:valAx>
      <c:valAx>
        <c:axId val="1043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Volumen perdido</a:t>
                </a:r>
                <a:r>
                  <a:rPr lang="en-US" baseline="0"/>
                  <a:t> (m^3)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Masa de helio perdido vs</a:t>
            </a:r>
            <a:r>
              <a:rPr lang="en-US" baseline="0"/>
              <a:t> día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Datos!$Q$1</c:f>
              <c:strCache>
                <c:ptCount val="1"/>
                <c:pt idx="0">
                  <c:v>Masa de helio perdido (g)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3020686322143133"/>
                  <c:y val="8.7501458151064457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Datos!$C$2:$C$10</c:f>
              <c:numCache>
                <c:formatCode>m/d/yyyy</c:formatCode>
                <c:ptCount val="9"/>
                <c:pt idx="0">
                  <c:v>45351.625</c:v>
                </c:pt>
                <c:pt idx="1">
                  <c:v>45351.720833333333</c:v>
                </c:pt>
                <c:pt idx="2">
                  <c:v>45352.425694444442</c:v>
                </c:pt>
                <c:pt idx="3">
                  <c:v>45352.581250000003</c:v>
                </c:pt>
                <c:pt idx="4">
                  <c:v>45353.324999999997</c:v>
                </c:pt>
                <c:pt idx="5">
                  <c:v>45355.430555555555</c:v>
                </c:pt>
                <c:pt idx="6">
                  <c:v>45355.595138888886</c:v>
                </c:pt>
                <c:pt idx="7">
                  <c:v>45357.465277777781</c:v>
                </c:pt>
                <c:pt idx="8">
                  <c:v>45359.609027777777</c:v>
                </c:pt>
              </c:numCache>
            </c:numRef>
          </c:xVal>
          <c:yVal>
            <c:numRef>
              <c:f>Datos!$Q$2:$Q$10</c:f>
              <c:numCache>
                <c:formatCode>General</c:formatCode>
                <c:ptCount val="9"/>
                <c:pt idx="0">
                  <c:v>0</c:v>
                </c:pt>
                <c:pt idx="1">
                  <c:v>0.76041153216819168</c:v>
                </c:pt>
                <c:pt idx="2">
                  <c:v>5.9545134228187617</c:v>
                </c:pt>
                <c:pt idx="3">
                  <c:v>3.9015964629067859</c:v>
                </c:pt>
                <c:pt idx="4">
                  <c:v>10.339095620942734</c:v>
                </c:pt>
                <c:pt idx="5">
                  <c:v>26.249601690519132</c:v>
                </c:pt>
                <c:pt idx="6">
                  <c:v>26.843751503483148</c:v>
                </c:pt>
                <c:pt idx="7">
                  <c:v>39.261600500442469</c:v>
                </c:pt>
                <c:pt idx="8">
                  <c:v>54.739988602741299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C0D-4AD0-A4EA-23FC56B376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3922384"/>
        <c:axId val="1043921664"/>
      </c:scatterChart>
      <c:valAx>
        <c:axId val="1043922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1664"/>
        <c:crosses val="autoZero"/>
        <c:crossBetween val="midCat"/>
      </c:valAx>
      <c:valAx>
        <c:axId val="1043921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Masa de helio perdido </a:t>
                </a:r>
                <a:r>
                  <a:rPr lang="en-US" baseline="0"/>
                  <a:t>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3922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Fuerza de flotación vs</a:t>
            </a:r>
            <a:r>
              <a:rPr lang="en-US" baseline="0"/>
              <a:t> día relativo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Datos!$N$1</c:f>
              <c:strCache>
                <c:ptCount val="1"/>
                <c:pt idx="0">
                  <c:v>Fuerza de flotación (g)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69094488188975"/>
                  <c:y val="7.8242563429571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Datos!$D$2:$D$10</c:f>
              <c:numCache>
                <c:formatCode>0.00</c:formatCode>
                <c:ptCount val="9"/>
                <c:pt idx="0">
                  <c:v>0</c:v>
                </c:pt>
                <c:pt idx="1">
                  <c:v>9.5833333332848269E-2</c:v>
                </c:pt>
                <c:pt idx="2">
                  <c:v>0.8006944444423425</c:v>
                </c:pt>
                <c:pt idx="3">
                  <c:v>0.95625000000291038</c:v>
                </c:pt>
                <c:pt idx="4">
                  <c:v>1.6999999999970896</c:v>
                </c:pt>
                <c:pt idx="5">
                  <c:v>3.8055555555547471</c:v>
                </c:pt>
                <c:pt idx="6">
                  <c:v>3.9701388888861402</c:v>
                </c:pt>
                <c:pt idx="7">
                  <c:v>5.8402777777810115</c:v>
                </c:pt>
                <c:pt idx="8">
                  <c:v>7.984027777776646</c:v>
                </c:pt>
              </c:numCache>
            </c:numRef>
          </c:xVal>
          <c:yVal>
            <c:numRef>
              <c:f>Datos!$N$2:$N$10</c:f>
              <c:numCache>
                <c:formatCode>General</c:formatCode>
                <c:ptCount val="9"/>
                <c:pt idx="0">
                  <c:v>1220.3800000000001</c:v>
                </c:pt>
                <c:pt idx="1">
                  <c:v>1215.6899999999998</c:v>
                </c:pt>
                <c:pt idx="2">
                  <c:v>1183.6800000000003</c:v>
                </c:pt>
                <c:pt idx="3">
                  <c:v>1196.3400000000001</c:v>
                </c:pt>
                <c:pt idx="4">
                  <c:v>1156.67</c:v>
                </c:pt>
                <c:pt idx="5">
                  <c:v>1058.6499999999996</c:v>
                </c:pt>
                <c:pt idx="6">
                  <c:v>1054.8200000000002</c:v>
                </c:pt>
                <c:pt idx="7">
                  <c:v>978.48</c:v>
                </c:pt>
                <c:pt idx="8">
                  <c:v>883.13000000000011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60B-4D48-8111-36BB67F59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376504"/>
        <c:axId val="840377584"/>
      </c:scatterChart>
      <c:valAx>
        <c:axId val="840376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Días desde inflado (día)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7584"/>
        <c:crosses val="autoZero"/>
        <c:crossBetween val="midCat"/>
      </c:valAx>
      <c:valAx>
        <c:axId val="8403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Fuerza de flotación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Fuerza de flotación perdida vs</a:t>
            </a:r>
            <a:r>
              <a:rPr lang="en-US" baseline="0"/>
              <a:t> día relativo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Datos!$O$1</c:f>
              <c:strCache>
                <c:ptCount val="1"/>
                <c:pt idx="0">
                  <c:v>Fuerza perdida (g)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69094488188975"/>
                  <c:y val="7.8242563429571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Datos!$D$2:$D$10</c:f>
              <c:numCache>
                <c:formatCode>0.00</c:formatCode>
                <c:ptCount val="9"/>
                <c:pt idx="0">
                  <c:v>0</c:v>
                </c:pt>
                <c:pt idx="1">
                  <c:v>9.5833333332848269E-2</c:v>
                </c:pt>
                <c:pt idx="2">
                  <c:v>0.8006944444423425</c:v>
                </c:pt>
                <c:pt idx="3">
                  <c:v>0.95625000000291038</c:v>
                </c:pt>
                <c:pt idx="4">
                  <c:v>1.6999999999970896</c:v>
                </c:pt>
                <c:pt idx="5">
                  <c:v>3.8055555555547471</c:v>
                </c:pt>
                <c:pt idx="6">
                  <c:v>3.9701388888861402</c:v>
                </c:pt>
                <c:pt idx="7">
                  <c:v>5.8402777777810115</c:v>
                </c:pt>
                <c:pt idx="8">
                  <c:v>7.984027777776646</c:v>
                </c:pt>
              </c:numCache>
            </c:numRef>
          </c:xVal>
          <c:yVal>
            <c:numRef>
              <c:f>Datos!$O$2:$O$10</c:f>
              <c:numCache>
                <c:formatCode>General</c:formatCode>
                <c:ptCount val="9"/>
                <c:pt idx="0">
                  <c:v>0</c:v>
                </c:pt>
                <c:pt idx="1">
                  <c:v>4.6900000000002819</c:v>
                </c:pt>
                <c:pt idx="2">
                  <c:v>36.699999999999818</c:v>
                </c:pt>
                <c:pt idx="3">
                  <c:v>24.039999999999964</c:v>
                </c:pt>
                <c:pt idx="4">
                  <c:v>63.710000000000036</c:v>
                </c:pt>
                <c:pt idx="5">
                  <c:v>161.73000000000047</c:v>
                </c:pt>
                <c:pt idx="6">
                  <c:v>165.55999999999995</c:v>
                </c:pt>
                <c:pt idx="7">
                  <c:v>241.90000000000009</c:v>
                </c:pt>
                <c:pt idx="8">
                  <c:v>337.25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7F-410A-AE18-271784371D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376504"/>
        <c:axId val="840377584"/>
      </c:scatterChart>
      <c:valAx>
        <c:axId val="840376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Días desde inflado (día)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7584"/>
        <c:crosses val="autoZero"/>
        <c:crossBetween val="midCat"/>
      </c:valAx>
      <c:valAx>
        <c:axId val="8403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Fuerza de flotación perdida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Volumen de helio perdido vs</a:t>
            </a:r>
            <a:r>
              <a:rPr lang="en-US" baseline="0"/>
              <a:t> día relativo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Datos!$P$1</c:f>
              <c:strCache>
                <c:ptCount val="1"/>
                <c:pt idx="0">
                  <c:v>Volumen de helio perdido (m3)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69094488188975"/>
                  <c:y val="7.8242563429571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Datos!$D$2:$D$10</c:f>
              <c:numCache>
                <c:formatCode>0.00</c:formatCode>
                <c:ptCount val="9"/>
                <c:pt idx="0">
                  <c:v>0</c:v>
                </c:pt>
                <c:pt idx="1">
                  <c:v>9.5833333332848269E-2</c:v>
                </c:pt>
                <c:pt idx="2">
                  <c:v>0.8006944444423425</c:v>
                </c:pt>
                <c:pt idx="3">
                  <c:v>0.95625000000291038</c:v>
                </c:pt>
                <c:pt idx="4">
                  <c:v>1.6999999999970896</c:v>
                </c:pt>
                <c:pt idx="5">
                  <c:v>3.8055555555547471</c:v>
                </c:pt>
                <c:pt idx="6">
                  <c:v>3.9701388888861402</c:v>
                </c:pt>
                <c:pt idx="7">
                  <c:v>5.8402777777810115</c:v>
                </c:pt>
                <c:pt idx="8">
                  <c:v>7.984027777776646</c:v>
                </c:pt>
              </c:numCache>
            </c:numRef>
          </c:xVal>
          <c:yVal>
            <c:numRef>
              <c:f>Datos!$P$2:$P$10</c:f>
              <c:numCache>
                <c:formatCode>General</c:formatCode>
                <c:ptCount val="9"/>
                <c:pt idx="0">
                  <c:v>0</c:v>
                </c:pt>
                <c:pt idx="1">
                  <c:v>4.8509245717432928E-3</c:v>
                </c:pt>
                <c:pt idx="2">
                  <c:v>3.709468747473095E-2</c:v>
                </c:pt>
                <c:pt idx="3">
                  <c:v>2.4718523469230338E-2</c:v>
                </c:pt>
                <c:pt idx="4">
                  <c:v>6.4131149257171866E-2</c:v>
                </c:pt>
                <c:pt idx="5">
                  <c:v>0.1645052027707429</c:v>
                </c:pt>
                <c:pt idx="6">
                  <c:v>0.16990899052138533</c:v>
                </c:pt>
                <c:pt idx="7">
                  <c:v>0.24605087831721142</c:v>
                </c:pt>
                <c:pt idx="8">
                  <c:v>0.34659382287077317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4ED-4446-8DBB-B6F0AC2965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376504"/>
        <c:axId val="840377584"/>
      </c:scatterChart>
      <c:valAx>
        <c:axId val="840376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Días desde inflado (día)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7584"/>
        <c:crosses val="autoZero"/>
        <c:crossBetween val="midCat"/>
      </c:valAx>
      <c:valAx>
        <c:axId val="8403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Volumen de helio perdido (m^3)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Masa</a:t>
            </a:r>
            <a:r>
              <a:rPr lang="en-US" baseline="0"/>
              <a:t> de helio perdido </a:t>
            </a:r>
            <a:r>
              <a:rPr lang="en-US"/>
              <a:t>vs</a:t>
            </a:r>
            <a:r>
              <a:rPr lang="en-US" baseline="0"/>
              <a:t> día relativo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Datos!$Q$1</c:f>
              <c:strCache>
                <c:ptCount val="1"/>
                <c:pt idx="0">
                  <c:v>Masa de helio perdido (g)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8669094488188975"/>
                  <c:y val="7.82425634295713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Datos!$D$2:$D$10</c:f>
              <c:numCache>
                <c:formatCode>0.00</c:formatCode>
                <c:ptCount val="9"/>
                <c:pt idx="0">
                  <c:v>0</c:v>
                </c:pt>
                <c:pt idx="1">
                  <c:v>9.5833333332848269E-2</c:v>
                </c:pt>
                <c:pt idx="2">
                  <c:v>0.8006944444423425</c:v>
                </c:pt>
                <c:pt idx="3">
                  <c:v>0.95625000000291038</c:v>
                </c:pt>
                <c:pt idx="4">
                  <c:v>1.6999999999970896</c:v>
                </c:pt>
                <c:pt idx="5">
                  <c:v>3.8055555555547471</c:v>
                </c:pt>
                <c:pt idx="6">
                  <c:v>3.9701388888861402</c:v>
                </c:pt>
                <c:pt idx="7">
                  <c:v>5.8402777777810115</c:v>
                </c:pt>
                <c:pt idx="8">
                  <c:v>7.984027777776646</c:v>
                </c:pt>
              </c:numCache>
            </c:numRef>
          </c:xVal>
          <c:yVal>
            <c:numRef>
              <c:f>Datos!$Q$2:$Q$10</c:f>
              <c:numCache>
                <c:formatCode>General</c:formatCode>
                <c:ptCount val="9"/>
                <c:pt idx="0">
                  <c:v>0</c:v>
                </c:pt>
                <c:pt idx="1">
                  <c:v>0.76041153216819168</c:v>
                </c:pt>
                <c:pt idx="2">
                  <c:v>5.9545134228187617</c:v>
                </c:pt>
                <c:pt idx="3">
                  <c:v>3.9015964629067859</c:v>
                </c:pt>
                <c:pt idx="4">
                  <c:v>10.339095620942734</c:v>
                </c:pt>
                <c:pt idx="5">
                  <c:v>26.249601690519132</c:v>
                </c:pt>
                <c:pt idx="6">
                  <c:v>26.843751503483148</c:v>
                </c:pt>
                <c:pt idx="7">
                  <c:v>39.261600500442469</c:v>
                </c:pt>
                <c:pt idx="8">
                  <c:v>54.739988602741299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B16-4F75-8EAF-AC05CF23C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0376504"/>
        <c:axId val="840377584"/>
      </c:scatterChart>
      <c:valAx>
        <c:axId val="8403765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Días desde inflado (día)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7584"/>
        <c:crosses val="autoZero"/>
        <c:crossBetween val="midCat"/>
      </c:valAx>
      <c:valAx>
        <c:axId val="840377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Masa de helio perdido (g)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0376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486987</xdr:colOff>
      <xdr:row>11</xdr:row>
      <xdr:rowOff>136121</xdr:rowOff>
    </xdr:from>
    <xdr:to>
      <xdr:col>8</xdr:col>
      <xdr:colOff>285404</xdr:colOff>
      <xdr:row>26</xdr:row>
      <xdr:rowOff>136121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EE7CBC9-60D1-8064-DAD2-6333E1BBAB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495504</xdr:colOff>
      <xdr:row>27</xdr:row>
      <xdr:rowOff>79867</xdr:rowOff>
    </xdr:from>
    <xdr:to>
      <xdr:col>8</xdr:col>
      <xdr:colOff>293921</xdr:colOff>
      <xdr:row>42</xdr:row>
      <xdr:rowOff>79867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2024BE-211E-4B63-B5DD-00C6171EBA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423785</xdr:colOff>
      <xdr:row>44</xdr:row>
      <xdr:rowOff>61938</xdr:rowOff>
    </xdr:from>
    <xdr:to>
      <xdr:col>8</xdr:col>
      <xdr:colOff>222202</xdr:colOff>
      <xdr:row>59</xdr:row>
      <xdr:rowOff>61938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70675BC-9585-4715-84F6-5B332E997C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396892</xdr:colOff>
      <xdr:row>60</xdr:row>
      <xdr:rowOff>124691</xdr:rowOff>
    </xdr:from>
    <xdr:to>
      <xdr:col>8</xdr:col>
      <xdr:colOff>195309</xdr:colOff>
      <xdr:row>75</xdr:row>
      <xdr:rowOff>124691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42D7DD7F-9A0F-4945-84A9-244A44F57C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219526</xdr:colOff>
      <xdr:row>12</xdr:row>
      <xdr:rowOff>59075</xdr:rowOff>
    </xdr:from>
    <xdr:to>
      <xdr:col>13</xdr:col>
      <xdr:colOff>912253</xdr:colOff>
      <xdr:row>27</xdr:row>
      <xdr:rowOff>100639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337189C-EA50-FD96-4F98-0AEB97E054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192216</xdr:colOff>
      <xdr:row>27</xdr:row>
      <xdr:rowOff>109838</xdr:rowOff>
    </xdr:from>
    <xdr:to>
      <xdr:col>13</xdr:col>
      <xdr:colOff>884943</xdr:colOff>
      <xdr:row>42</xdr:row>
      <xdr:rowOff>151401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4335CDCB-59B9-4F84-A733-D8976EED40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106680</xdr:colOff>
      <xdr:row>44</xdr:row>
      <xdr:rowOff>0</xdr:rowOff>
    </xdr:from>
    <xdr:to>
      <xdr:col>13</xdr:col>
      <xdr:colOff>799407</xdr:colOff>
      <xdr:row>59</xdr:row>
      <xdr:rowOff>41563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A97F0597-7A5C-4F92-9CE9-759017C85C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83820</xdr:colOff>
      <xdr:row>60</xdr:row>
      <xdr:rowOff>106680</xdr:rowOff>
    </xdr:from>
    <xdr:to>
      <xdr:col>13</xdr:col>
      <xdr:colOff>776547</xdr:colOff>
      <xdr:row>75</xdr:row>
      <xdr:rowOff>148243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E1DBCDD8-271C-413D-B074-BE426BBF663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50559-0A63-41BA-9AB8-CF8C79D3BCD9}">
  <dimension ref="A1:I10"/>
  <sheetViews>
    <sheetView workbookViewId="0">
      <selection activeCell="D18" sqref="D18"/>
    </sheetView>
  </sheetViews>
  <sheetFormatPr defaultRowHeight="14.4" x14ac:dyDescent="0.3"/>
  <cols>
    <col min="1" max="1" width="12.109375" customWidth="1"/>
    <col min="2" max="2" width="15.77734375" customWidth="1"/>
    <col min="3" max="3" width="13.77734375" bestFit="1" customWidth="1"/>
    <col min="4" max="4" width="27.21875" bestFit="1" customWidth="1"/>
    <col min="5" max="5" width="12.109375" bestFit="1" customWidth="1"/>
    <col min="6" max="6" width="14.5546875" bestFit="1" customWidth="1"/>
    <col min="7" max="7" width="16" bestFit="1" customWidth="1"/>
    <col min="8" max="8" width="9.33203125" bestFit="1" customWidth="1"/>
    <col min="9" max="9" width="9" bestFit="1" customWidth="1"/>
  </cols>
  <sheetData>
    <row r="1" spans="1:9" x14ac:dyDescent="0.3">
      <c r="A1" t="s">
        <v>15</v>
      </c>
      <c r="B1" t="s">
        <v>16</v>
      </c>
      <c r="C1" t="s">
        <v>21</v>
      </c>
      <c r="D1" t="s">
        <v>17</v>
      </c>
      <c r="E1" t="s">
        <v>18</v>
      </c>
      <c r="F1" t="s">
        <v>19</v>
      </c>
      <c r="G1" t="s">
        <v>20</v>
      </c>
      <c r="H1" t="s">
        <v>22</v>
      </c>
      <c r="I1" t="s">
        <v>23</v>
      </c>
    </row>
    <row r="2" spans="1:9" x14ac:dyDescent="0.3">
      <c r="A2" s="1">
        <v>45351.625</v>
      </c>
      <c r="B2" s="2">
        <v>0</v>
      </c>
      <c r="C2">
        <v>3262.23</v>
      </c>
      <c r="D2">
        <v>2041.85</v>
      </c>
      <c r="E2">
        <v>999</v>
      </c>
      <c r="F2">
        <v>45</v>
      </c>
      <c r="G2">
        <v>34.299999999999997</v>
      </c>
      <c r="H2">
        <v>0.15645000000000001</v>
      </c>
      <c r="I2">
        <v>1.1217189999999999</v>
      </c>
    </row>
    <row r="3" spans="1:9" x14ac:dyDescent="0.3">
      <c r="A3" s="1">
        <v>45351.720833333333</v>
      </c>
      <c r="B3" s="2">
        <v>9.5833333332848269E-2</v>
      </c>
      <c r="C3">
        <v>3262.47</v>
      </c>
      <c r="D3">
        <v>2046.78</v>
      </c>
      <c r="E3">
        <v>999</v>
      </c>
      <c r="F3">
        <v>48</v>
      </c>
      <c r="G3">
        <v>33.700000000000003</v>
      </c>
      <c r="H3">
        <v>0.15675600000000001</v>
      </c>
      <c r="I3">
        <v>1.1235820000000001</v>
      </c>
    </row>
    <row r="4" spans="1:9" x14ac:dyDescent="0.3">
      <c r="A4" s="1">
        <v>45352.425694444442</v>
      </c>
      <c r="B4" s="2">
        <v>0.8006944444423425</v>
      </c>
      <c r="C4">
        <v>3106.28</v>
      </c>
      <c r="D4">
        <v>1922.6</v>
      </c>
      <c r="E4">
        <v>1004</v>
      </c>
      <c r="F4">
        <v>71</v>
      </c>
      <c r="G4">
        <v>28</v>
      </c>
      <c r="H4">
        <v>0.160522</v>
      </c>
      <c r="I4">
        <v>1.1498820000000001</v>
      </c>
    </row>
    <row r="5" spans="1:9" x14ac:dyDescent="0.3">
      <c r="A5" s="1">
        <v>45352.581250000003</v>
      </c>
      <c r="B5" s="2">
        <v>0.95625000000291038</v>
      </c>
      <c r="C5">
        <v>3105.34</v>
      </c>
      <c r="D5">
        <v>1909</v>
      </c>
      <c r="E5">
        <v>1001</v>
      </c>
      <c r="F5">
        <v>57</v>
      </c>
      <c r="G5">
        <v>32.200000000000003</v>
      </c>
      <c r="H5">
        <v>0.15784100000000001</v>
      </c>
      <c r="I5">
        <v>1.1303909999999999</v>
      </c>
    </row>
    <row r="6" spans="1:9" x14ac:dyDescent="0.3">
      <c r="A6" s="1">
        <v>45353.324999999997</v>
      </c>
      <c r="B6" s="2">
        <v>1.6999999999970896</v>
      </c>
      <c r="C6">
        <v>3306.07</v>
      </c>
      <c r="D6">
        <v>2149.4</v>
      </c>
      <c r="E6">
        <v>1004</v>
      </c>
      <c r="F6">
        <v>78</v>
      </c>
      <c r="G6">
        <v>26.7</v>
      </c>
      <c r="H6">
        <v>0.161218</v>
      </c>
      <c r="I6">
        <v>1.1546510000000001</v>
      </c>
    </row>
    <row r="7" spans="1:9" x14ac:dyDescent="0.3">
      <c r="A7" s="1">
        <v>45355.430555555555</v>
      </c>
      <c r="B7" s="2">
        <v>3.8055555555547471</v>
      </c>
      <c r="C7">
        <v>3305.2</v>
      </c>
      <c r="D7">
        <v>2246.5500000000002</v>
      </c>
      <c r="E7">
        <v>1002</v>
      </c>
      <c r="F7">
        <v>68</v>
      </c>
      <c r="G7">
        <v>29.2</v>
      </c>
      <c r="H7">
        <v>0.15956699999999999</v>
      </c>
      <c r="I7">
        <v>1.1426970000000001</v>
      </c>
    </row>
    <row r="8" spans="1:9" x14ac:dyDescent="0.3">
      <c r="A8" s="1">
        <v>45355.595138888886</v>
      </c>
      <c r="B8" s="2">
        <v>3.9701388888861402</v>
      </c>
      <c r="C8">
        <v>3167.63</v>
      </c>
      <c r="D8">
        <v>2112.81</v>
      </c>
      <c r="E8">
        <v>998</v>
      </c>
      <c r="F8">
        <v>56</v>
      </c>
      <c r="G8">
        <v>31</v>
      </c>
      <c r="H8">
        <v>0.15798899999999999</v>
      </c>
      <c r="I8">
        <v>1.132393</v>
      </c>
    </row>
    <row r="9" spans="1:9" x14ac:dyDescent="0.3">
      <c r="A9" s="1">
        <v>45357.465277777781</v>
      </c>
      <c r="B9" s="2">
        <v>5.8402777777810115</v>
      </c>
      <c r="C9">
        <v>3166.81</v>
      </c>
      <c r="D9">
        <v>2188.33</v>
      </c>
      <c r="E9">
        <v>1002</v>
      </c>
      <c r="F9">
        <v>68</v>
      </c>
      <c r="G9">
        <v>29.2</v>
      </c>
      <c r="H9">
        <v>0.15956699999999999</v>
      </c>
      <c r="I9">
        <v>1.1426970000000001</v>
      </c>
    </row>
    <row r="10" spans="1:9" x14ac:dyDescent="0.3">
      <c r="A10" s="1">
        <v>45359.609027777777</v>
      </c>
      <c r="B10" s="2">
        <v>7.984027777776646</v>
      </c>
      <c r="C10">
        <v>3166.36</v>
      </c>
      <c r="D10">
        <v>2283.23</v>
      </c>
      <c r="E10">
        <v>998</v>
      </c>
      <c r="F10">
        <v>61</v>
      </c>
      <c r="G10">
        <v>31.1</v>
      </c>
      <c r="H10">
        <v>0.15793699999999999</v>
      </c>
      <c r="I10">
        <v>1.130978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"/>
  <sheetViews>
    <sheetView tabSelected="1" topLeftCell="G1" zoomScaleNormal="100" workbookViewId="0">
      <selection activeCell="N2" sqref="N2"/>
    </sheetView>
  </sheetViews>
  <sheetFormatPr defaultColWidth="8.88671875" defaultRowHeight="14.4" x14ac:dyDescent="0.3"/>
  <cols>
    <col min="1" max="1" width="11" bestFit="1" customWidth="1"/>
    <col min="3" max="3" width="11.77734375" bestFit="1" customWidth="1"/>
    <col min="4" max="4" width="26.77734375" customWidth="1"/>
    <col min="5" max="5" width="12.88671875" bestFit="1" customWidth="1"/>
    <col min="6" max="6" width="25.6640625" bestFit="1" customWidth="1"/>
    <col min="7" max="7" width="11.109375" bestFit="1" customWidth="1"/>
    <col min="8" max="8" width="11.77734375" bestFit="1" customWidth="1"/>
    <col min="9" max="9" width="15.109375" bestFit="1" customWidth="1"/>
    <col min="11" max="11" width="19.88671875" bestFit="1" customWidth="1"/>
    <col min="12" max="12" width="18.88671875" bestFit="1" customWidth="1"/>
    <col min="14" max="14" width="20.44140625" bestFit="1" customWidth="1"/>
    <col min="15" max="15" width="19.5546875" bestFit="1" customWidth="1"/>
    <col min="16" max="16" width="26.109375" bestFit="1" customWidth="1"/>
    <col min="17" max="17" width="21.6640625" bestFit="1" customWidth="1"/>
  </cols>
  <sheetData>
    <row r="1" spans="1:17" x14ac:dyDescent="0.3">
      <c r="A1" t="s">
        <v>12</v>
      </c>
      <c r="B1" t="s">
        <v>0</v>
      </c>
      <c r="C1" t="s">
        <v>13</v>
      </c>
      <c r="D1" t="s">
        <v>14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K1" t="s">
        <v>6</v>
      </c>
      <c r="L1" t="s">
        <v>7</v>
      </c>
      <c r="N1" t="s">
        <v>8</v>
      </c>
      <c r="O1" t="s">
        <v>9</v>
      </c>
      <c r="P1" t="s">
        <v>10</v>
      </c>
      <c r="Q1" t="s">
        <v>11</v>
      </c>
    </row>
    <row r="2" spans="1:17" x14ac:dyDescent="0.3">
      <c r="A2" s="1">
        <v>45351</v>
      </c>
      <c r="B2" s="3">
        <v>0.625</v>
      </c>
      <c r="C2" s="1">
        <f t="shared" ref="C2:C10" si="0">A2+B2</f>
        <v>45351.625</v>
      </c>
      <c r="D2" s="2">
        <f>C2-$C$2</f>
        <v>0</v>
      </c>
      <c r="E2">
        <v>3262.23</v>
      </c>
      <c r="F2">
        <v>2041.85</v>
      </c>
      <c r="G2">
        <v>999</v>
      </c>
      <c r="H2">
        <v>45</v>
      </c>
      <c r="I2">
        <v>34.299999999999997</v>
      </c>
      <c r="K2">
        <v>0.15645000000000001</v>
      </c>
      <c r="L2">
        <v>1.1217189999999999</v>
      </c>
      <c r="N2">
        <f>E2-F2</f>
        <v>1220.3800000000001</v>
      </c>
      <c r="O2">
        <v>0</v>
      </c>
      <c r="P2">
        <v>0</v>
      </c>
      <c r="Q2">
        <v>0</v>
      </c>
    </row>
    <row r="3" spans="1:17" x14ac:dyDescent="0.3">
      <c r="A3" s="1">
        <v>45351</v>
      </c>
      <c r="B3" s="4">
        <v>0.72083333333333333</v>
      </c>
      <c r="C3" s="1">
        <f t="shared" si="0"/>
        <v>45351.720833333333</v>
      </c>
      <c r="D3" s="2">
        <f t="shared" ref="D3:D10" si="1">C3-$C$2</f>
        <v>9.5833333332848269E-2</v>
      </c>
      <c r="E3">
        <v>3262.47</v>
      </c>
      <c r="F3">
        <v>2046.78</v>
      </c>
      <c r="G3">
        <v>999</v>
      </c>
      <c r="H3">
        <v>48</v>
      </c>
      <c r="I3">
        <v>33.700000000000003</v>
      </c>
      <c r="K3">
        <v>0.15675600000000001</v>
      </c>
      <c r="L3">
        <v>1.1235820000000001</v>
      </c>
      <c r="N3">
        <f t="shared" ref="N3:N9" si="2">E3-F3</f>
        <v>1215.6899999999998</v>
      </c>
      <c r="O3">
        <f>$N$2-N3</f>
        <v>4.6900000000002819</v>
      </c>
      <c r="P3">
        <f>O3/1000/(L3-K3)</f>
        <v>4.8509245717432928E-3</v>
      </c>
      <c r="Q3">
        <f>P3*K3*1000</f>
        <v>0.76041153216819168</v>
      </c>
    </row>
    <row r="4" spans="1:17" x14ac:dyDescent="0.3">
      <c r="A4" s="1">
        <v>45352</v>
      </c>
      <c r="B4" s="4">
        <v>0.42569444444444443</v>
      </c>
      <c r="C4" s="1">
        <f t="shared" si="0"/>
        <v>45352.425694444442</v>
      </c>
      <c r="D4" s="2">
        <f t="shared" si="1"/>
        <v>0.8006944444423425</v>
      </c>
      <c r="E4">
        <v>3106.28</v>
      </c>
      <c r="F4">
        <v>1922.6</v>
      </c>
      <c r="G4">
        <v>1004</v>
      </c>
      <c r="H4">
        <v>71</v>
      </c>
      <c r="I4">
        <v>28</v>
      </c>
      <c r="K4">
        <v>0.160522</v>
      </c>
      <c r="L4">
        <v>1.1498820000000001</v>
      </c>
      <c r="N4">
        <f>E4-F4</f>
        <v>1183.6800000000003</v>
      </c>
      <c r="O4">
        <f t="shared" ref="O4:O10" si="3">$N$2-N4</f>
        <v>36.699999999999818</v>
      </c>
      <c r="P4">
        <f t="shared" ref="P4:P10" si="4">O4/1000/(L4-K4)</f>
        <v>3.709468747473095E-2</v>
      </c>
      <c r="Q4">
        <f t="shared" ref="Q4:Q9" si="5">P4*K4*1000</f>
        <v>5.9545134228187617</v>
      </c>
    </row>
    <row r="5" spans="1:17" x14ac:dyDescent="0.3">
      <c r="A5" s="1">
        <v>45352</v>
      </c>
      <c r="B5" s="4">
        <v>0.58124999999999993</v>
      </c>
      <c r="C5" s="1">
        <f t="shared" si="0"/>
        <v>45352.581250000003</v>
      </c>
      <c r="D5" s="2">
        <f t="shared" si="1"/>
        <v>0.95625000000291038</v>
      </c>
      <c r="E5">
        <v>3105.34</v>
      </c>
      <c r="F5">
        <v>1909</v>
      </c>
      <c r="G5">
        <v>1001</v>
      </c>
      <c r="H5">
        <v>57</v>
      </c>
      <c r="I5">
        <v>32.200000000000003</v>
      </c>
      <c r="K5">
        <v>0.15784100000000001</v>
      </c>
      <c r="L5">
        <v>1.1303909999999999</v>
      </c>
      <c r="N5">
        <f t="shared" si="2"/>
        <v>1196.3400000000001</v>
      </c>
      <c r="O5">
        <f t="shared" si="3"/>
        <v>24.039999999999964</v>
      </c>
      <c r="P5">
        <f t="shared" si="4"/>
        <v>2.4718523469230338E-2</v>
      </c>
      <c r="Q5">
        <f t="shared" si="5"/>
        <v>3.9015964629067859</v>
      </c>
    </row>
    <row r="6" spans="1:17" x14ac:dyDescent="0.3">
      <c r="A6" s="1">
        <v>45353</v>
      </c>
      <c r="B6" s="4">
        <v>0.32500000000000001</v>
      </c>
      <c r="C6" s="1">
        <f t="shared" si="0"/>
        <v>45353.324999999997</v>
      </c>
      <c r="D6" s="2">
        <f t="shared" si="1"/>
        <v>1.6999999999970896</v>
      </c>
      <c r="E6">
        <v>3306.07</v>
      </c>
      <c r="F6">
        <v>2149.4</v>
      </c>
      <c r="G6">
        <v>1004</v>
      </c>
      <c r="H6">
        <v>78</v>
      </c>
      <c r="I6">
        <v>26.7</v>
      </c>
      <c r="K6">
        <v>0.161218</v>
      </c>
      <c r="L6">
        <v>1.1546510000000001</v>
      </c>
      <c r="N6">
        <f t="shared" si="2"/>
        <v>1156.67</v>
      </c>
      <c r="O6">
        <f t="shared" si="3"/>
        <v>63.710000000000036</v>
      </c>
      <c r="P6">
        <f t="shared" si="4"/>
        <v>6.4131149257171866E-2</v>
      </c>
      <c r="Q6">
        <f t="shared" si="5"/>
        <v>10.339095620942734</v>
      </c>
    </row>
    <row r="7" spans="1:17" x14ac:dyDescent="0.3">
      <c r="A7" s="1">
        <v>45355</v>
      </c>
      <c r="B7" s="4">
        <v>0.43055555555555558</v>
      </c>
      <c r="C7" s="1">
        <f t="shared" si="0"/>
        <v>45355.430555555555</v>
      </c>
      <c r="D7" s="2">
        <f t="shared" si="1"/>
        <v>3.8055555555547471</v>
      </c>
      <c r="E7">
        <v>3305.2</v>
      </c>
      <c r="F7">
        <v>2246.5500000000002</v>
      </c>
      <c r="G7">
        <v>1002</v>
      </c>
      <c r="H7">
        <v>68</v>
      </c>
      <c r="I7">
        <v>29.2</v>
      </c>
      <c r="K7">
        <v>0.15956699999999999</v>
      </c>
      <c r="L7">
        <v>1.1426970000000001</v>
      </c>
      <c r="N7">
        <f t="shared" si="2"/>
        <v>1058.6499999999996</v>
      </c>
      <c r="O7">
        <f t="shared" si="3"/>
        <v>161.73000000000047</v>
      </c>
      <c r="P7">
        <f t="shared" si="4"/>
        <v>0.1645052027707429</v>
      </c>
      <c r="Q7">
        <f t="shared" si="5"/>
        <v>26.249601690519132</v>
      </c>
    </row>
    <row r="8" spans="1:17" x14ac:dyDescent="0.3">
      <c r="A8" s="1">
        <v>45355</v>
      </c>
      <c r="B8" s="4">
        <v>0.59513888888888888</v>
      </c>
      <c r="C8" s="1">
        <f t="shared" si="0"/>
        <v>45355.595138888886</v>
      </c>
      <c r="D8" s="2">
        <f t="shared" si="1"/>
        <v>3.9701388888861402</v>
      </c>
      <c r="E8">
        <v>3167.63</v>
      </c>
      <c r="F8">
        <v>2112.81</v>
      </c>
      <c r="G8">
        <v>998</v>
      </c>
      <c r="H8">
        <v>56</v>
      </c>
      <c r="I8">
        <v>31</v>
      </c>
      <c r="K8">
        <v>0.15798899999999999</v>
      </c>
      <c r="L8">
        <v>1.132393</v>
      </c>
      <c r="N8">
        <f t="shared" si="2"/>
        <v>1054.8200000000002</v>
      </c>
      <c r="O8">
        <f t="shared" si="3"/>
        <v>165.55999999999995</v>
      </c>
      <c r="P8">
        <f t="shared" si="4"/>
        <v>0.16990899052138533</v>
      </c>
      <c r="Q8">
        <f t="shared" si="5"/>
        <v>26.843751503483148</v>
      </c>
    </row>
    <row r="9" spans="1:17" x14ac:dyDescent="0.3">
      <c r="A9" s="1">
        <v>45357</v>
      </c>
      <c r="B9" s="4">
        <v>0.46527777777777773</v>
      </c>
      <c r="C9" s="1">
        <f t="shared" si="0"/>
        <v>45357.465277777781</v>
      </c>
      <c r="D9" s="2">
        <f t="shared" si="1"/>
        <v>5.8402777777810115</v>
      </c>
      <c r="E9">
        <v>3166.81</v>
      </c>
      <c r="F9">
        <v>2188.33</v>
      </c>
      <c r="G9">
        <v>1002</v>
      </c>
      <c r="H9">
        <v>68</v>
      </c>
      <c r="I9">
        <v>29.2</v>
      </c>
      <c r="K9">
        <v>0.15956699999999999</v>
      </c>
      <c r="L9">
        <v>1.1426970000000001</v>
      </c>
      <c r="N9">
        <f t="shared" si="2"/>
        <v>978.48</v>
      </c>
      <c r="O9">
        <f t="shared" si="3"/>
        <v>241.90000000000009</v>
      </c>
      <c r="P9">
        <f t="shared" si="4"/>
        <v>0.24605087831721142</v>
      </c>
      <c r="Q9">
        <f t="shared" si="5"/>
        <v>39.261600500442469</v>
      </c>
    </row>
    <row r="10" spans="1:17" x14ac:dyDescent="0.3">
      <c r="A10" s="1">
        <v>45359</v>
      </c>
      <c r="B10" s="4">
        <v>0.60902777777777783</v>
      </c>
      <c r="C10" s="1">
        <f t="shared" si="0"/>
        <v>45359.609027777777</v>
      </c>
      <c r="D10" s="2">
        <f t="shared" si="1"/>
        <v>7.984027777776646</v>
      </c>
      <c r="E10">
        <v>3166.36</v>
      </c>
      <c r="F10">
        <v>2283.23</v>
      </c>
      <c r="G10">
        <v>998</v>
      </c>
      <c r="H10">
        <v>61</v>
      </c>
      <c r="I10">
        <v>31.1</v>
      </c>
      <c r="K10">
        <v>0.15793699999999999</v>
      </c>
      <c r="L10">
        <v>1.130978</v>
      </c>
      <c r="N10">
        <f>E10-F10</f>
        <v>883.13000000000011</v>
      </c>
      <c r="O10">
        <f t="shared" si="3"/>
        <v>337.25</v>
      </c>
      <c r="P10">
        <f t="shared" si="4"/>
        <v>0.34659382287077317</v>
      </c>
      <c r="Q10">
        <f>P10*K10*1000</f>
        <v>54.739988602741299</v>
      </c>
    </row>
    <row r="12" spans="1:17" x14ac:dyDescent="0.3">
      <c r="A12" s="5"/>
      <c r="B12" s="4"/>
      <c r="C12" s="1"/>
      <c r="D12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datos_clean</vt:lpstr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Wen</dc:creator>
  <cp:lastModifiedBy>LUIS WEN</cp:lastModifiedBy>
  <dcterms:created xsi:type="dcterms:W3CDTF">2015-06-05T18:17:20Z</dcterms:created>
  <dcterms:modified xsi:type="dcterms:W3CDTF">2024-09-10T20:11:04Z</dcterms:modified>
</cp:coreProperties>
</file>